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\\192.168.1.222\archivio\archivio agenzia\3. MODULISTICA\"/>
    </mc:Choice>
  </mc:AlternateContent>
  <xr:revisionPtr revIDLastSave="0" documentId="13_ncr:1_{E32022B6-CF84-494B-A563-75AA8524B719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Foglio2" sheetId="1" r:id="rId1"/>
    <sheet name="Foglio1" sheetId="2" r:id="rId2"/>
  </sheets>
  <definedNames>
    <definedName name="_xlnm.Print_Area" localSheetId="0">Foglio2!$A$1:$H$54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6" i="1" l="1"/>
  <c r="B25" i="1"/>
  <c r="D21" i="1"/>
  <c r="E21" i="1" s="1"/>
  <c r="D20" i="1"/>
  <c r="E20" i="1" s="1"/>
  <c r="D19" i="1"/>
  <c r="E19" i="1" s="1"/>
  <c r="D18" i="1"/>
  <c r="E18" i="1" s="1"/>
  <c r="D17" i="1"/>
  <c r="E17" i="1" s="1"/>
  <c r="D15" i="1"/>
  <c r="E15" i="1" s="1"/>
  <c r="D14" i="1"/>
  <c r="E14" i="1" s="1"/>
  <c r="D13" i="1"/>
  <c r="E13" i="1" s="1"/>
  <c r="D12" i="1"/>
  <c r="E12" i="1" s="1"/>
  <c r="D11" i="1"/>
  <c r="E11" i="1" s="1"/>
  <c r="D10" i="1"/>
  <c r="E10" i="1" s="1"/>
  <c r="E26" i="1" l="1"/>
  <c r="E30" i="1" s="1"/>
  <c r="E27" i="1" l="1"/>
</calcChain>
</file>

<file path=xl/sharedStrings.xml><?xml version="1.0" encoding="utf-8"?>
<sst xmlns="http://schemas.openxmlformats.org/spreadsheetml/2006/main" count="37" uniqueCount="36">
  <si>
    <t>STIMA COMMERCIALE DI IMMOBILE RESIDENZIALE</t>
  </si>
  <si>
    <t>ZONA:</t>
  </si>
  <si>
    <t>TIPOLOGIA:</t>
  </si>
  <si>
    <t>INDIRIZZO:</t>
  </si>
  <si>
    <t xml:space="preserve">CLIENTE: </t>
  </si>
  <si>
    <t>DATA:</t>
  </si>
  <si>
    <t>Valore al mq</t>
  </si>
  <si>
    <t>Indice di vetusta</t>
  </si>
  <si>
    <t>Mq</t>
  </si>
  <si>
    <t>Percentuale</t>
  </si>
  <si>
    <t>Valore</t>
  </si>
  <si>
    <t xml:space="preserve"> </t>
  </si>
  <si>
    <t>Garage</t>
  </si>
  <si>
    <t>Magazzino</t>
  </si>
  <si>
    <t>Terrazzi/Poggioli</t>
  </si>
  <si>
    <t>A CORPO</t>
  </si>
  <si>
    <t>Valore a Nuovo</t>
  </si>
  <si>
    <t>Valore attuale</t>
  </si>
  <si>
    <t xml:space="preserve">Posto Auto </t>
  </si>
  <si>
    <t>BOX auto</t>
  </si>
  <si>
    <t>Vetustà</t>
  </si>
  <si>
    <t>CANTINA</t>
  </si>
  <si>
    <t>GIARDINO</t>
  </si>
  <si>
    <t>Principi di unicità</t>
  </si>
  <si>
    <t>Criticità</t>
  </si>
  <si>
    <t>Valore commerciale</t>
  </si>
  <si>
    <t>ZONA OMI</t>
  </si>
  <si>
    <t>INGRESSO</t>
  </si>
  <si>
    <t>SOGGIORNO</t>
  </si>
  <si>
    <t>CUCINA</t>
  </si>
  <si>
    <t>CAMERA 1</t>
  </si>
  <si>
    <t>CAMERA 2</t>
  </si>
  <si>
    <t>CAMERA 3</t>
  </si>
  <si>
    <t>TOT MQ TIPOLOGIA</t>
  </si>
  <si>
    <t>TOT VALORE TIPOLOGIA</t>
  </si>
  <si>
    <t>Valore al mq GARAGE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</si>
</sst>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€ &quot;#,##0.00"/>
    <numFmt numFmtId="165" formatCode="_-&quot;€ &quot;* #,##0.00_-;&quot;-€ &quot;* #,##0.00_-;_-&quot;€ &quot;* \-??_-;_-@_-"/>
  </numFmts>
  <fonts count="8" x14ac:knownFonts="1">
    <font>
      <sz val="10"/>
      <name val="Arial"/>
      <charset val="1"/>
    </font>
    <font>
      <b/>
      <u/>
      <sz val="10"/>
      <name val="Arial"/>
      <family val="2"/>
      <charset val="1"/>
    </font>
    <font>
      <b/>
      <sz val="10"/>
      <name val="Arial"/>
      <family val="2"/>
      <charset val="1"/>
    </font>
    <font>
      <sz val="9"/>
      <name val="Arial"/>
      <family val="2"/>
      <charset val="1"/>
    </font>
    <font>
      <sz val="10"/>
      <name val="Arial"/>
      <family val="2"/>
      <charset val="1"/>
    </font>
    <font>
      <b/>
      <sz val="10"/>
      <color rgb="FFFF0000"/>
      <name val="Arial"/>
      <family val="2"/>
      <charset val="1"/>
    </font>
    <font>
      <sz val="10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505050"/>
      </left>
      <right/>
      <top style="thin">
        <color rgb="FF505050"/>
      </top>
      <bottom/>
      <diagonal/>
    </border>
    <border>
      <left/>
      <right style="thin">
        <color rgb="FF505050"/>
      </right>
      <top style="thin">
        <color rgb="FF50505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5" fontId="6" fillId="0" borderId="0" applyBorder="0" applyProtection="0"/>
  </cellStyleXfs>
  <cellXfs count="55">
    <xf numFmtId="0" fontId="0" fillId="0" borderId="0" xfId="0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/>
    <xf numFmtId="14" fontId="2" fillId="2" borderId="1" xfId="0" applyNumberFormat="1" applyFont="1" applyFill="1" applyBorder="1"/>
    <xf numFmtId="0" fontId="4" fillId="0" borderId="0" xfId="0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10" fontId="0" fillId="0" borderId="5" xfId="0" applyNumberFormat="1" applyBorder="1" applyAlignment="1">
      <alignment horizontal="right"/>
    </xf>
    <xf numFmtId="164" fontId="0" fillId="0" borderId="6" xfId="0" applyNumberFormat="1" applyBorder="1"/>
    <xf numFmtId="12" fontId="0" fillId="0" borderId="5" xfId="0" applyNumberFormat="1" applyBorder="1" applyAlignment="1">
      <alignment horizontal="right"/>
    </xf>
    <xf numFmtId="0" fontId="4" fillId="0" borderId="1" xfId="0" applyFont="1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4" fillId="0" borderId="0" xfId="0" applyFont="1" applyAlignment="1">
      <alignment horizontal="center"/>
    </xf>
    <xf numFmtId="0" fontId="4" fillId="0" borderId="5" xfId="0" applyFont="1" applyBorder="1" applyAlignment="1">
      <alignment horizontal="center"/>
    </xf>
    <xf numFmtId="164" fontId="0" fillId="0" borderId="6" xfId="1" applyNumberFormat="1" applyFont="1" applyBorder="1" applyProtection="1"/>
    <xf numFmtId="0" fontId="2" fillId="0" borderId="0" xfId="0" applyFont="1"/>
    <xf numFmtId="0" fontId="4" fillId="0" borderId="0" xfId="0" applyFont="1" applyAlignment="1">
      <alignment vertical="center"/>
    </xf>
    <xf numFmtId="3" fontId="0" fillId="0" borderId="0" xfId="0" applyNumberFormat="1"/>
    <xf numFmtId="0" fontId="6" fillId="0" borderId="0" xfId="0" applyFont="1"/>
    <xf numFmtId="0" fontId="6" fillId="0" borderId="1" xfId="0" applyFont="1" applyBorder="1"/>
    <xf numFmtId="9" fontId="0" fillId="0" borderId="0" xfId="0" applyNumberFormat="1"/>
    <xf numFmtId="0" fontId="6" fillId="0" borderId="5" xfId="0" applyFont="1" applyBorder="1" applyAlignment="1">
      <alignment horizontal="center"/>
    </xf>
    <xf numFmtId="0" fontId="6" fillId="0" borderId="0" xfId="0" applyFont="1" applyAlignment="1">
      <alignment horizontal="center"/>
    </xf>
    <xf numFmtId="4" fontId="6" fillId="3" borderId="0" xfId="0" applyNumberFormat="1" applyFont="1" applyFill="1"/>
    <xf numFmtId="3" fontId="6" fillId="0" borderId="0" xfId="0" applyNumberFormat="1" applyFont="1"/>
    <xf numFmtId="9" fontId="6" fillId="0" borderId="0" xfId="0" applyNumberFormat="1" applyFont="1"/>
    <xf numFmtId="164" fontId="2" fillId="0" borderId="0" xfId="0" applyNumberFormat="1" applyFont="1"/>
    <xf numFmtId="0" fontId="4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0" fillId="0" borderId="8" xfId="0" applyBorder="1" applyAlignment="1">
      <alignment horizontal="center"/>
    </xf>
    <xf numFmtId="0" fontId="7" fillId="0" borderId="0" xfId="0" applyFont="1" applyAlignment="1">
      <alignment horizontal="right"/>
    </xf>
    <xf numFmtId="9" fontId="0" fillId="0" borderId="5" xfId="0" applyNumberFormat="1" applyBorder="1" applyAlignment="1">
      <alignment horizontal="right"/>
    </xf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6" fillId="0" borderId="0" xfId="0" applyFont="1" applyBorder="1" applyAlignment="1">
      <alignment horizontal="center"/>
    </xf>
    <xf numFmtId="0" fontId="4" fillId="0" borderId="11" xfId="0" applyFont="1" applyFill="1" applyBorder="1"/>
    <xf numFmtId="0" fontId="6" fillId="0" borderId="13" xfId="0" applyFont="1" applyBorder="1" applyAlignment="1">
      <alignment horizontal="center"/>
    </xf>
    <xf numFmtId="0" fontId="4" fillId="0" borderId="11" xfId="0" applyFont="1" applyBorder="1"/>
    <xf numFmtId="164" fontId="0" fillId="0" borderId="13" xfId="0" applyNumberFormat="1" applyBorder="1"/>
    <xf numFmtId="164" fontId="5" fillId="0" borderId="13" xfId="0" applyNumberFormat="1" applyFont="1" applyBorder="1"/>
  </cellXfs>
  <cellStyles count="2">
    <cellStyle name="Normale" xfId="0" builtinId="0"/>
    <cellStyle name="Valuta" xfId="1" builtinId="4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47"/>
  <sheetViews>
    <sheetView tabSelected="1" topLeftCell="A12" zoomScaleNormal="100" workbookViewId="0">
      <selection activeCell="C30" sqref="C30:E30"/>
    </sheetView>
  </sheetViews>
  <sheetFormatPr defaultColWidth="8.77734375" defaultRowHeight="13.2" x14ac:dyDescent="0.25"/>
  <cols>
    <col min="1" max="1" width="22.5546875" bestFit="1" customWidth="1"/>
    <col min="2" max="2" width="10.109375" customWidth="1"/>
    <col min="3" max="3" width="19.44140625" bestFit="1" customWidth="1"/>
    <col min="5" max="5" width="15.44140625" customWidth="1"/>
    <col min="6" max="7" width="10.109375" customWidth="1"/>
    <col min="8" max="8" width="23.44140625" customWidth="1"/>
  </cols>
  <sheetData>
    <row r="1" spans="1:9" x14ac:dyDescent="0.25">
      <c r="A1" s="32" t="s">
        <v>0</v>
      </c>
      <c r="B1" s="32"/>
      <c r="C1" s="32"/>
      <c r="D1" s="32"/>
      <c r="E1" s="32"/>
      <c r="F1" s="32"/>
      <c r="G1" s="32"/>
      <c r="H1" s="32"/>
    </row>
    <row r="2" spans="1:9" x14ac:dyDescent="0.25">
      <c r="A2" s="32"/>
      <c r="B2" s="32"/>
      <c r="C2" s="32"/>
      <c r="D2" s="32"/>
      <c r="E2" s="32"/>
      <c r="F2" s="32"/>
      <c r="G2" s="32"/>
      <c r="H2" s="32"/>
    </row>
    <row r="3" spans="1:9" x14ac:dyDescent="0.25">
      <c r="A3" s="1" t="s">
        <v>1</v>
      </c>
      <c r="B3" s="33"/>
      <c r="C3" s="33"/>
      <c r="D3" s="33"/>
      <c r="E3" s="1" t="s">
        <v>2</v>
      </c>
      <c r="F3" s="33"/>
      <c r="G3" s="33"/>
      <c r="H3" s="33"/>
    </row>
    <row r="4" spans="1:9" ht="13.5" customHeight="1" x14ac:dyDescent="0.25">
      <c r="A4" s="1" t="s">
        <v>3</v>
      </c>
      <c r="B4" s="34"/>
      <c r="C4" s="34"/>
      <c r="D4" s="34"/>
      <c r="E4" s="1" t="s">
        <v>4</v>
      </c>
      <c r="F4" s="33"/>
      <c r="G4" s="33"/>
      <c r="H4" s="33"/>
    </row>
    <row r="5" spans="1:9" x14ac:dyDescent="0.25">
      <c r="A5" s="44" t="s">
        <v>26</v>
      </c>
      <c r="F5" s="2" t="s">
        <v>5</v>
      </c>
      <c r="G5" s="3"/>
    </row>
    <row r="6" spans="1:9" x14ac:dyDescent="0.25">
      <c r="A6" s="13" t="s">
        <v>6</v>
      </c>
      <c r="B6" s="9">
        <v>2202</v>
      </c>
      <c r="C6" s="13" t="s">
        <v>35</v>
      </c>
      <c r="D6" s="9">
        <v>2202</v>
      </c>
      <c r="F6" s="22"/>
    </row>
    <row r="7" spans="1:9" x14ac:dyDescent="0.25">
      <c r="A7" s="9" t="s">
        <v>7</v>
      </c>
      <c r="B7" s="23">
        <v>0.7</v>
      </c>
      <c r="C7" s="22"/>
    </row>
    <row r="8" spans="1:9" ht="18.75" customHeight="1" x14ac:dyDescent="0.25"/>
    <row r="9" spans="1:9" x14ac:dyDescent="0.25">
      <c r="B9" s="5" t="s">
        <v>8</v>
      </c>
      <c r="C9" s="6" t="s">
        <v>9</v>
      </c>
      <c r="D9" s="7" t="s">
        <v>10</v>
      </c>
      <c r="E9" s="8" t="s">
        <v>10</v>
      </c>
    </row>
    <row r="10" spans="1:9" x14ac:dyDescent="0.25">
      <c r="A10" s="4" t="s">
        <v>27</v>
      </c>
      <c r="B10" s="9">
        <v>0</v>
      </c>
      <c r="C10" s="10">
        <v>1</v>
      </c>
      <c r="D10">
        <f t="shared" ref="D10:D21" si="0">$B$6</f>
        <v>2202</v>
      </c>
      <c r="E10" s="11">
        <f t="shared" ref="E10:E21" si="1">B10*C10*D10</f>
        <v>0</v>
      </c>
      <c r="F10" s="22"/>
      <c r="H10" s="22"/>
    </row>
    <row r="11" spans="1:9" x14ac:dyDescent="0.25">
      <c r="A11" s="4" t="s">
        <v>28</v>
      </c>
      <c r="B11" s="9">
        <v>0</v>
      </c>
      <c r="C11" s="10">
        <v>1</v>
      </c>
      <c r="D11">
        <f t="shared" si="0"/>
        <v>2202</v>
      </c>
      <c r="E11" s="11">
        <f t="shared" si="1"/>
        <v>0</v>
      </c>
    </row>
    <row r="12" spans="1:9" x14ac:dyDescent="0.25">
      <c r="A12" s="4" t="s">
        <v>29</v>
      </c>
      <c r="B12" s="13"/>
      <c r="C12" s="10">
        <v>1</v>
      </c>
      <c r="D12">
        <f t="shared" si="0"/>
        <v>2202</v>
      </c>
      <c r="E12" s="11">
        <f t="shared" si="1"/>
        <v>0</v>
      </c>
    </row>
    <row r="13" spans="1:9" x14ac:dyDescent="0.25">
      <c r="A13" s="4" t="s">
        <v>30</v>
      </c>
      <c r="B13" s="9"/>
      <c r="C13" s="10">
        <v>1</v>
      </c>
      <c r="D13">
        <f t="shared" si="0"/>
        <v>2202</v>
      </c>
      <c r="E13" s="11">
        <f t="shared" si="1"/>
        <v>0</v>
      </c>
    </row>
    <row r="14" spans="1:9" x14ac:dyDescent="0.25">
      <c r="A14" s="4" t="s">
        <v>31</v>
      </c>
      <c r="B14" s="9"/>
      <c r="C14" s="10">
        <v>1</v>
      </c>
      <c r="D14">
        <f t="shared" si="0"/>
        <v>2202</v>
      </c>
      <c r="E14" s="11">
        <f t="shared" si="1"/>
        <v>0</v>
      </c>
      <c r="F14" s="22"/>
    </row>
    <row r="15" spans="1:9" x14ac:dyDescent="0.25">
      <c r="A15" s="4" t="s">
        <v>32</v>
      </c>
      <c r="B15" s="9"/>
      <c r="C15" s="10">
        <v>1</v>
      </c>
      <c r="D15">
        <f t="shared" si="0"/>
        <v>2202</v>
      </c>
      <c r="E15" s="11">
        <f t="shared" si="1"/>
        <v>0</v>
      </c>
      <c r="I15" t="s">
        <v>11</v>
      </c>
    </row>
    <row r="16" spans="1:9" x14ac:dyDescent="0.25">
      <c r="A16" s="4" t="s">
        <v>34</v>
      </c>
      <c r="B16" s="9"/>
      <c r="C16" s="10"/>
      <c r="E16" s="11">
        <f>SUM(E10:E15)</f>
        <v>0</v>
      </c>
    </row>
    <row r="17" spans="1:8" x14ac:dyDescent="0.25">
      <c r="A17" s="4" t="s">
        <v>12</v>
      </c>
      <c r="B17" s="9"/>
      <c r="C17" s="10">
        <v>1</v>
      </c>
      <c r="D17">
        <f t="shared" si="0"/>
        <v>2202</v>
      </c>
      <c r="E17" s="11">
        <f t="shared" si="1"/>
        <v>0</v>
      </c>
    </row>
    <row r="18" spans="1:8" x14ac:dyDescent="0.25">
      <c r="A18" s="4" t="s">
        <v>21</v>
      </c>
      <c r="B18" s="9"/>
      <c r="C18" s="12">
        <v>0.33333333333333298</v>
      </c>
      <c r="D18">
        <f t="shared" si="0"/>
        <v>2202</v>
      </c>
      <c r="E18" s="11">
        <f t="shared" si="1"/>
        <v>0</v>
      </c>
      <c r="H18" s="22"/>
    </row>
    <row r="19" spans="1:8" x14ac:dyDescent="0.25">
      <c r="A19" s="4" t="s">
        <v>13</v>
      </c>
      <c r="B19" s="9"/>
      <c r="C19" s="14">
        <v>1</v>
      </c>
      <c r="D19">
        <f t="shared" si="0"/>
        <v>2202</v>
      </c>
      <c r="E19" s="11">
        <f t="shared" si="1"/>
        <v>0</v>
      </c>
    </row>
    <row r="20" spans="1:8" x14ac:dyDescent="0.25">
      <c r="A20" s="4" t="s">
        <v>14</v>
      </c>
      <c r="B20" s="9"/>
      <c r="C20" s="12">
        <v>0.33333333333333298</v>
      </c>
      <c r="D20">
        <f t="shared" si="0"/>
        <v>2202</v>
      </c>
      <c r="E20" s="11">
        <f t="shared" si="1"/>
        <v>0</v>
      </c>
      <c r="F20" s="22"/>
    </row>
    <row r="21" spans="1:8" x14ac:dyDescent="0.25">
      <c r="A21" s="4" t="s">
        <v>22</v>
      </c>
      <c r="B21" s="9"/>
      <c r="C21" s="45">
        <v>0.1</v>
      </c>
      <c r="D21">
        <f t="shared" si="0"/>
        <v>2202</v>
      </c>
      <c r="E21" s="11">
        <f t="shared" si="1"/>
        <v>0</v>
      </c>
    </row>
    <row r="22" spans="1:8" x14ac:dyDescent="0.25">
      <c r="A22" s="4" t="s">
        <v>18</v>
      </c>
      <c r="B22" s="23"/>
      <c r="C22" s="15"/>
      <c r="E22" s="11"/>
    </row>
    <row r="23" spans="1:8" x14ac:dyDescent="0.25">
      <c r="A23" s="4" t="s">
        <v>19</v>
      </c>
      <c r="B23" s="16" t="s">
        <v>15</v>
      </c>
      <c r="C23" s="17"/>
      <c r="D23" s="22"/>
      <c r="E23" s="18"/>
      <c r="H23" s="22"/>
    </row>
    <row r="24" spans="1:8" ht="13.8" thickBot="1" x14ac:dyDescent="0.3">
      <c r="A24" s="4"/>
      <c r="B24" s="26"/>
      <c r="C24" s="25"/>
      <c r="E24" s="18"/>
    </row>
    <row r="25" spans="1:8" ht="13.8" thickBot="1" x14ac:dyDescent="0.3">
      <c r="A25" s="50" t="s">
        <v>33</v>
      </c>
      <c r="B25" s="51">
        <f>B10+B11+B12+B13+B14+B15</f>
        <v>0</v>
      </c>
      <c r="C25" s="49"/>
      <c r="E25" s="18"/>
    </row>
    <row r="26" spans="1:8" ht="13.8" thickBot="1" x14ac:dyDescent="0.3">
      <c r="C26" s="52" t="s">
        <v>16</v>
      </c>
      <c r="D26" s="47"/>
      <c r="E26" s="53">
        <f>E10+E11+E12+E13+E14+E15+E17+E18+E19+E20+E21+E22+E23</f>
        <v>0</v>
      </c>
    </row>
    <row r="27" spans="1:8" ht="13.8" thickBot="1" x14ac:dyDescent="0.3">
      <c r="C27" s="52" t="s">
        <v>20</v>
      </c>
      <c r="D27" s="47"/>
      <c r="E27" s="53">
        <f>E26-E30</f>
        <v>0</v>
      </c>
    </row>
    <row r="28" spans="1:8" x14ac:dyDescent="0.25">
      <c r="C28" s="15"/>
      <c r="E28" s="11"/>
    </row>
    <row r="29" spans="1:8" ht="13.8" thickBot="1" x14ac:dyDescent="0.3">
      <c r="C29" s="15"/>
      <c r="E29" s="11"/>
    </row>
    <row r="30" spans="1:8" ht="13.8" thickBot="1" x14ac:dyDescent="0.3">
      <c r="C30" s="46" t="s">
        <v>17</v>
      </c>
      <c r="D30" s="47"/>
      <c r="E30" s="54">
        <f>E26*B7</f>
        <v>0</v>
      </c>
      <c r="F30" s="29"/>
      <c r="G30" s="22"/>
    </row>
    <row r="31" spans="1:8" ht="13.8" thickBot="1" x14ac:dyDescent="0.3">
      <c r="C31" s="19"/>
      <c r="D31" s="19"/>
      <c r="E31" s="30"/>
      <c r="F31" s="27"/>
      <c r="G31" s="21"/>
      <c r="H31" s="22"/>
    </row>
    <row r="32" spans="1:8" ht="13.8" thickBot="1" x14ac:dyDescent="0.3">
      <c r="B32" s="46" t="s">
        <v>25</v>
      </c>
      <c r="C32" s="47"/>
      <c r="D32" s="48"/>
      <c r="E32" s="28"/>
      <c r="F32" s="22"/>
      <c r="H32" s="22"/>
    </row>
    <row r="33" spans="1:7" x14ac:dyDescent="0.25">
      <c r="E33" s="21"/>
      <c r="F33" s="22"/>
    </row>
    <row r="35" spans="1:7" x14ac:dyDescent="0.25">
      <c r="A35" s="39" t="s">
        <v>23</v>
      </c>
      <c r="B35" s="39"/>
      <c r="C35" s="35"/>
      <c r="D35" s="36"/>
      <c r="E35" s="24"/>
      <c r="G35" s="28"/>
    </row>
    <row r="36" spans="1:7" ht="12.75" customHeight="1" x14ac:dyDescent="0.25">
      <c r="C36" s="37"/>
      <c r="D36" s="38"/>
      <c r="E36" s="24"/>
    </row>
    <row r="37" spans="1:7" x14ac:dyDescent="0.25">
      <c r="C37" s="37"/>
      <c r="D37" s="38"/>
      <c r="E37" s="22"/>
    </row>
    <row r="38" spans="1:7" x14ac:dyDescent="0.25">
      <c r="C38" s="42"/>
      <c r="D38" s="43"/>
    </row>
    <row r="39" spans="1:7" x14ac:dyDescent="0.25">
      <c r="C39" s="20"/>
      <c r="D39" s="20"/>
    </row>
    <row r="42" spans="1:7" x14ac:dyDescent="0.25">
      <c r="A42" s="39" t="s">
        <v>24</v>
      </c>
      <c r="B42" s="39"/>
      <c r="C42" s="40"/>
      <c r="D42" s="41"/>
      <c r="E42" s="24"/>
    </row>
    <row r="43" spans="1:7" x14ac:dyDescent="0.25">
      <c r="C43" s="35"/>
      <c r="D43" s="36"/>
    </row>
    <row r="44" spans="1:7" x14ac:dyDescent="0.25">
      <c r="C44" s="37"/>
      <c r="D44" s="38"/>
    </row>
    <row r="45" spans="1:7" x14ac:dyDescent="0.25">
      <c r="C45" s="31"/>
      <c r="D45" s="31"/>
      <c r="E45" s="22"/>
    </row>
    <row r="46" spans="1:7" x14ac:dyDescent="0.25">
      <c r="C46" s="31"/>
      <c r="D46" s="31"/>
    </row>
    <row r="47" spans="1:7" x14ac:dyDescent="0.25">
      <c r="C47" s="4"/>
    </row>
  </sheetData>
  <mergeCells count="16">
    <mergeCell ref="C46:D46"/>
    <mergeCell ref="A1:H2"/>
    <mergeCell ref="B3:D3"/>
    <mergeCell ref="F3:H3"/>
    <mergeCell ref="B4:D4"/>
    <mergeCell ref="F4:H4"/>
    <mergeCell ref="C43:D43"/>
    <mergeCell ref="C44:D44"/>
    <mergeCell ref="C45:D45"/>
    <mergeCell ref="A35:B35"/>
    <mergeCell ref="A42:B42"/>
    <mergeCell ref="C35:D35"/>
    <mergeCell ref="C36:D36"/>
    <mergeCell ref="C37:D37"/>
    <mergeCell ref="C42:D42"/>
    <mergeCell ref="C38:D38"/>
  </mergeCells>
  <pageMargins left="0.196527777777778" right="0.196527777777778" top="0.98402777777777795" bottom="0.98402777777777795" header="0.51180555555555496" footer="0.51180555555555496"/>
  <pageSetup paperSize="9" scale="88" firstPageNumber="0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F0EFA-6ACE-6B44-840A-AA3DB5EAD423}">
  <dimension ref="A1"/>
  <sheetViews>
    <sheetView workbookViewId="0"/>
  </sheetViews>
  <sheetFormatPr defaultColWidth="11.5546875" defaultRowHeight="13.2" x14ac:dyDescent="0.25"/>
  <sheetData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4731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Foglio2</vt:lpstr>
      <vt:lpstr>Foglio1</vt:lpstr>
      <vt:lpstr>Foglio2!Area_stampa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Corporation</dc:creator>
  <dc:description/>
  <cp:lastModifiedBy>Mat G</cp:lastModifiedBy>
  <cp:revision>2</cp:revision>
  <cp:lastPrinted>2026-06-03T15:16:36Z</cp:lastPrinted>
  <dcterms:created xsi:type="dcterms:W3CDTF">1996-11-05T10:16:36Z</dcterms:created>
  <dcterms:modified xsi:type="dcterms:W3CDTF">2026-09-30T13:51:58Z</dcterms:modified>
  <dc:language>it-IT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