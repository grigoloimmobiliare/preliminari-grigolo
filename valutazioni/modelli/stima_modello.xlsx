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500" firstSheet="0" activeTab="0" autoFilterDateGrouping="1"/>
  </bookViews>
  <sheets>
    <sheet xmlns:r="http://schemas.openxmlformats.org/officeDocument/2006/relationships" name="Foglio2" sheetId="1" state="visible" r:id="rId1"/>
    <sheet xmlns:r="http://schemas.openxmlformats.org/officeDocument/2006/relationships" name="Foglio1" sheetId="2" state="visible" r:id="rId2"/>
  </sheets>
  <definedNames>
    <definedName name="_xlnm.Print_Area" localSheetId="0">'Foglio2'!$A$1:$H$54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€ &quot;#,##0.00"/>
    <numFmt numFmtId="165" formatCode="_-&quot;€ &quot;* #,##0.00_-;&quot;-€ &quot;* #,##0.00_-;_-&quot;€ &quot;* \-??_-;_-@_-"/>
  </numFmts>
  <fonts count="8">
    <font>
      <name val="Arial"/>
      <charset val="1"/>
      <sz val="10"/>
    </font>
    <font>
      <name val="Arial"/>
      <charset val="1"/>
      <family val="2"/>
      <b val="1"/>
      <sz val="10"/>
      <u val="single"/>
    </font>
    <font>
      <name val="Arial"/>
      <charset val="1"/>
      <family val="2"/>
      <b val="1"/>
      <sz val="10"/>
    </font>
    <font>
      <name val="Arial"/>
      <charset val="1"/>
      <family val="2"/>
      <sz val="9"/>
    </font>
    <font>
      <name val="Arial"/>
      <charset val="1"/>
      <family val="2"/>
      <sz val="10"/>
    </font>
    <font>
      <name val="Arial"/>
      <charset val="1"/>
      <family val="2"/>
      <b val="1"/>
      <color rgb="FFFF0000"/>
      <sz val="10"/>
    </font>
    <font>
      <name val="Arial"/>
      <family val="2"/>
      <sz val="10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</borders>
  <cellStyleXfs count="2">
    <xf numFmtId="0" fontId="0" fillId="0" borderId="0"/>
    <xf numFmtId="165" fontId="6" fillId="0" borderId="0"/>
  </cellStyleXfs>
  <cellXfs count="63">
    <xf numFmtId="0" fontId="0" fillId="0" borderId="0" pivotButton="0" quotePrefix="0" xfId="0"/>
    <xf numFmtId="0" fontId="2" fillId="2" borderId="1" applyAlignment="1" pivotButton="0" quotePrefix="0" xfId="0">
      <alignment horizontal="right"/>
    </xf>
    <xf numFmtId="0" fontId="2" fillId="2" borderId="1" pivotButton="0" quotePrefix="0" xfId="0"/>
    <xf numFmtId="14" fontId="2" fillId="2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1" pivotButton="0" quotePrefix="0" xfId="0"/>
    <xf numFmtId="10" fontId="0" fillId="0" borderId="5" applyAlignment="1" pivotButton="0" quotePrefix="0" xfId="0">
      <alignment horizontal="right"/>
    </xf>
    <xf numFmtId="164" fontId="0" fillId="0" borderId="6" pivotButton="0" quotePrefix="0" xfId="0"/>
    <xf numFmtId="12" fontId="0" fillId="0" borderId="5" applyAlignment="1" pivotButton="0" quotePrefix="0" xfId="0">
      <alignment horizontal="right"/>
    </xf>
    <xf numFmtId="0" fontId="4" fillId="0" borderId="1" pivotButton="0" quotePrefix="0" xfId="0"/>
    <xf numFmtId="0" fontId="0" fillId="0" borderId="5" applyAlignment="1" pivotButton="0" quotePrefix="0" xfId="0">
      <alignment horizontal="right"/>
    </xf>
    <xf numFmtId="0" fontId="0" fillId="0" borderId="5" pivotButton="0" quotePrefix="0" xfId="0"/>
    <xf numFmtId="0" fontId="4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164" fontId="0" fillId="0" borderId="6" pivotButton="0" quotePrefix="0" xfId="1"/>
    <xf numFmtId="0" fontId="2" fillId="0" borderId="0" pivotButton="0" quotePrefix="0" xfId="0"/>
    <xf numFmtId="0" fontId="4" fillId="0" borderId="0" applyAlignment="1" pivotButton="0" quotePrefix="0" xfId="0">
      <alignment vertical="center"/>
    </xf>
    <xf numFmtId="3" fontId="0" fillId="0" borderId="0" pivotButton="0" quotePrefix="0" xfId="0"/>
    <xf numFmtId="0" fontId="6" fillId="0" borderId="0" pivotButton="0" quotePrefix="0" xfId="0"/>
    <xf numFmtId="0" fontId="6" fillId="0" borderId="1" pivotButton="0" quotePrefix="0" xfId="0"/>
    <xf numFmtId="9" fontId="0" fillId="0" borderId="0" pivotButton="0" quotePrefix="0" xfId="0"/>
    <xf numFmtId="0" fontId="6" fillId="0" borderId="5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4" fontId="6" fillId="3" borderId="0" pivotButton="0" quotePrefix="0" xfId="0"/>
    <xf numFmtId="3" fontId="6" fillId="0" borderId="0" pivotButton="0" quotePrefix="0" xfId="0"/>
    <xf numFmtId="9" fontId="6" fillId="0" borderId="0" pivotButton="0" quotePrefix="0" xfId="0"/>
    <xf numFmtId="164" fontId="2" fillId="0" borderId="0" pivotButton="0" quotePrefix="0" xfId="0"/>
    <xf numFmtId="0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9" fontId="0" fillId="0" borderId="5" applyAlignment="1" pivotButton="0" quotePrefix="0" xfId="0">
      <alignment horizontal="righ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4" fillId="0" borderId="11" pivotButton="0" quotePrefix="0" xfId="0"/>
    <xf numFmtId="0" fontId="6" fillId="0" borderId="13" applyAlignment="1" pivotButton="0" quotePrefix="0" xfId="0">
      <alignment horizontal="center"/>
    </xf>
    <xf numFmtId="0" fontId="4" fillId="0" borderId="11" pivotButton="0" quotePrefix="0" xfId="0"/>
    <xf numFmtId="164" fontId="0" fillId="0" borderId="13" pivotButton="0" quotePrefix="0" xfId="0"/>
    <xf numFmtId="164" fontId="5" fillId="0" borderId="13" pivotButton="0" quotePrefix="0" xfId="0"/>
    <xf numFmtId="0" fontId="0" fillId="0" borderId="14" pivotButton="0" quotePrefix="0" xfId="0"/>
    <xf numFmtId="0" fontId="0" fillId="0" borderId="8" pivotButton="0" quotePrefix="0" xfId="0"/>
    <xf numFmtId="0" fontId="4" fillId="0" borderId="15" applyAlignment="1" pivotButton="0" quotePrefix="0" xfId="0">
      <alignment horizontal="center"/>
    </xf>
    <xf numFmtId="0" fontId="0" fillId="0" borderId="4" pivotButton="0" quotePrefix="0" xfId="0"/>
    <xf numFmtId="0" fontId="4" fillId="0" borderId="16" applyAlignment="1" pivotButton="0" quotePrefix="0" xfId="0">
      <alignment horizontal="center"/>
    </xf>
    <xf numFmtId="0" fontId="0" fillId="0" borderId="10" pivotButton="0" quotePrefix="0" xfId="0"/>
    <xf numFmtId="0" fontId="6" fillId="0" borderId="1" applyAlignment="1" pivotButton="0" quotePrefix="0" xfId="0">
      <alignment horizontal="center"/>
    </xf>
    <xf numFmtId="0" fontId="3" fillId="0" borderId="1" pivotButton="0" quotePrefix="0" xfId="0"/>
  </cellXfs>
  <cellStyles count="2">
    <cellStyle name="Normale" xfId="0" builtinId="0"/>
    <cellStyle name="Valuta" xfId="1" builtinId="4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Valutazioni</author>
    <author>Grigolo</author>
  </authors>
  <commentList>
    <comment ref="B5" authorId="0" shapeId="0">
      <text>
        <t>Zona OMI in cui si trova l'immobile: il codice (es. B1) oppure il nome della zona come compare sul sito dell'Agenzia delle Entrate (es. Centro storico).</t>
      </text>
    </comment>
    <comment ref="D5" authorId="1" shapeId="0">
      <text>
        <t>Comune dell'immobile (es. Jesolo): serve per cercare i valori OMI. La provincia si ricava da sola. Se vuoto si usa il comune scritto nell'indirizzo, altrimenti quello predefinito (Treviso).</t>
      </text>
    </comment>
    <comment ref="F6" authorId="0" shapeId="0">
      <text>
        <t>Nome di chi firma la valutazione (es. Grigolo Mattia).</t>
      </text>
    </comment>
  </commentList>
</comment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7"/>
  <sheetViews>
    <sheetView tabSelected="1" topLeftCell="A12" zoomScaleNormal="100" workbookViewId="0">
      <selection activeCell="C30" sqref="C30:E30"/>
    </sheetView>
  </sheetViews>
  <sheetFormatPr baseColWidth="8" defaultColWidth="8.77734375" defaultRowHeight="13.2"/>
  <cols>
    <col width="22.5546875" bestFit="1" customWidth="1" min="1" max="1"/>
    <col width="10.109375" customWidth="1" min="2" max="2"/>
    <col width="19.44140625" bestFit="1" customWidth="1" min="3" max="3"/>
    <col width="15.44140625" customWidth="1" min="5" max="5"/>
    <col width="10.109375" customWidth="1" min="6" max="7"/>
    <col width="23.44140625" customWidth="1" min="8" max="8"/>
  </cols>
  <sheetData>
    <row r="1">
      <c r="A1" s="32" t="inlineStr">
        <is>
          <t>STIMA COMMERCIALE DI IMMOBILE RESIDENZIALE</t>
        </is>
      </c>
    </row>
    <row r="2"/>
    <row r="3">
      <c r="A3" s="1" t="inlineStr">
        <is>
          <t>ZONA:</t>
        </is>
      </c>
      <c r="B3" s="33" t="n"/>
      <c r="C3" s="55" t="n"/>
      <c r="D3" s="56" t="n"/>
      <c r="E3" s="1" t="inlineStr">
        <is>
          <t>TIPOLOGIA:</t>
        </is>
      </c>
      <c r="F3" s="33" t="n"/>
      <c r="G3" s="55" t="n"/>
      <c r="H3" s="56" t="n"/>
    </row>
    <row r="4" ht="13.5" customHeight="1">
      <c r="A4" s="1" t="inlineStr">
        <is>
          <t>INDIRIZZO:</t>
        </is>
      </c>
      <c r="B4" s="34" t="n"/>
      <c r="C4" s="55" t="n"/>
      <c r="D4" s="56" t="n"/>
      <c r="E4" s="1" t="inlineStr">
        <is>
          <t xml:space="preserve">CLIENTE: </t>
        </is>
      </c>
      <c r="F4" s="33" t="n"/>
      <c r="G4" s="55" t="n"/>
      <c r="H4" s="56" t="n"/>
    </row>
    <row r="5">
      <c r="A5" s="44" t="inlineStr">
        <is>
          <t>ZONA OMI</t>
        </is>
      </c>
      <c r="B5" s="33" t="n"/>
      <c r="C5" s="44" t="inlineStr">
        <is>
          <t>COMUNE:</t>
        </is>
      </c>
      <c r="D5" s="62" t="n"/>
      <c r="F5" s="2" t="inlineStr">
        <is>
          <t>DATA:</t>
        </is>
      </c>
      <c r="G5" s="3" t="n"/>
    </row>
    <row r="6">
      <c r="A6" s="13" t="inlineStr">
        <is>
          <t>Valore al mq</t>
        </is>
      </c>
      <c r="B6" s="9" t="n">
        <v>2202</v>
      </c>
      <c r="C6" s="13" t="inlineStr">
        <is>
          <t>Valore al mq GARAGE</t>
        </is>
      </c>
      <c r="D6" s="9" t="n">
        <v>2202</v>
      </c>
      <c r="E6" s="1" t="inlineStr">
        <is>
          <t>FIRMA:</t>
        </is>
      </c>
      <c r="F6" s="33" t="n"/>
      <c r="G6" s="55" t="n"/>
      <c r="H6" s="56" t="n"/>
    </row>
    <row r="7">
      <c r="A7" s="9" t="inlineStr">
        <is>
          <t>Indice di vetusta</t>
        </is>
      </c>
      <c r="B7" s="23" t="n">
        <v>0.7</v>
      </c>
      <c r="C7" s="22" t="n"/>
    </row>
    <row r="8" ht="18.75" customHeight="1"/>
    <row r="9">
      <c r="B9" s="5" t="inlineStr">
        <is>
          <t>Mq</t>
        </is>
      </c>
      <c r="C9" s="6" t="inlineStr">
        <is>
          <t>Percentuale</t>
        </is>
      </c>
      <c r="D9" s="7" t="inlineStr">
        <is>
          <t>Valore</t>
        </is>
      </c>
      <c r="E9" s="8" t="inlineStr">
        <is>
          <t>Valore</t>
        </is>
      </c>
    </row>
    <row r="10">
      <c r="A10" s="4" t="inlineStr">
        <is>
          <t>INGRESSO</t>
        </is>
      </c>
      <c r="B10" s="9" t="n">
        <v>0</v>
      </c>
      <c r="C10" s="10" t="n">
        <v>1</v>
      </c>
      <c r="D10">
        <f>$B$6</f>
        <v/>
      </c>
      <c r="E10" s="11">
        <f>B10*C10*D10</f>
        <v/>
      </c>
      <c r="F10" s="22" t="n"/>
      <c r="H10" s="22" t="n"/>
    </row>
    <row r="11">
      <c r="A11" s="4" t="inlineStr">
        <is>
          <t>SOGGIORNO</t>
        </is>
      </c>
      <c r="B11" s="9" t="n">
        <v>0</v>
      </c>
      <c r="C11" s="10" t="n">
        <v>1</v>
      </c>
      <c r="D11">
        <f>$B$6</f>
        <v/>
      </c>
      <c r="E11" s="11">
        <f>B11*C11*D11</f>
        <v/>
      </c>
    </row>
    <row r="12">
      <c r="A12" s="4" t="inlineStr">
        <is>
          <t>CUCINA</t>
        </is>
      </c>
      <c r="B12" s="13" t="n"/>
      <c r="C12" s="10" t="n">
        <v>1</v>
      </c>
      <c r="D12">
        <f>$B$6</f>
        <v/>
      </c>
      <c r="E12" s="11">
        <f>B12*C12*D12</f>
        <v/>
      </c>
    </row>
    <row r="13">
      <c r="A13" s="4" t="inlineStr">
        <is>
          <t>CAMERA 1</t>
        </is>
      </c>
      <c r="B13" s="9" t="n"/>
      <c r="C13" s="10" t="n">
        <v>1</v>
      </c>
      <c r="D13">
        <f>$B$6</f>
        <v/>
      </c>
      <c r="E13" s="11">
        <f>B13*C13*D13</f>
        <v/>
      </c>
    </row>
    <row r="14">
      <c r="A14" s="4" t="inlineStr">
        <is>
          <t>CAMERA 2</t>
        </is>
      </c>
      <c r="B14" s="9" t="n"/>
      <c r="C14" s="10" t="n">
        <v>1</v>
      </c>
      <c r="D14">
        <f>$B$6</f>
        <v/>
      </c>
      <c r="E14" s="11">
        <f>B14*C14*D14</f>
        <v/>
      </c>
      <c r="F14" s="22" t="n"/>
    </row>
    <row r="15">
      <c r="A15" s="4" t="inlineStr">
        <is>
          <t>CAMERA 3</t>
        </is>
      </c>
      <c r="B15" s="9" t="n"/>
      <c r="C15" s="10" t="n">
        <v>1</v>
      </c>
      <c r="D15">
        <f>$B$6</f>
        <v/>
      </c>
      <c r="E15" s="11">
        <f>B15*C15*D15</f>
        <v/>
      </c>
      <c r="I15" t="inlineStr">
        <is>
          <t xml:space="preserve"> </t>
        </is>
      </c>
    </row>
    <row r="16">
      <c r="A16" s="4" t="inlineStr">
        <is>
          <t>TOT VALORE TIPOLOGIA</t>
        </is>
      </c>
      <c r="B16" s="9" t="n"/>
      <c r="C16" s="10" t="n"/>
      <c r="E16" s="11">
        <f>SUM(E10:E15)</f>
        <v/>
      </c>
    </row>
    <row r="17">
      <c r="A17" s="4" t="inlineStr">
        <is>
          <t>Garage</t>
        </is>
      </c>
      <c r="B17" s="9" t="n"/>
      <c r="C17" s="10" t="n">
        <v>1</v>
      </c>
      <c r="D17">
        <f>$B$6</f>
        <v/>
      </c>
      <c r="E17" s="11">
        <f>B17*C17*D17</f>
        <v/>
      </c>
    </row>
    <row r="18">
      <c r="A18" s="4" t="inlineStr">
        <is>
          <t>CANTINA</t>
        </is>
      </c>
      <c r="B18" s="9" t="n"/>
      <c r="C18" s="12" t="n">
        <v>0.333333333333333</v>
      </c>
      <c r="D18">
        <f>$B$6</f>
        <v/>
      </c>
      <c r="E18" s="11">
        <f>B18*C18*D18</f>
        <v/>
      </c>
      <c r="H18" s="22" t="n"/>
    </row>
    <row r="19">
      <c r="A19" s="4" t="inlineStr">
        <is>
          <t>Magazzino</t>
        </is>
      </c>
      <c r="B19" s="9" t="n"/>
      <c r="C19" s="14" t="n">
        <v>1</v>
      </c>
      <c r="D19">
        <f>$B$6</f>
        <v/>
      </c>
      <c r="E19" s="11">
        <f>B19*C19*D19</f>
        <v/>
      </c>
    </row>
    <row r="20">
      <c r="A20" s="4" t="inlineStr">
        <is>
          <t>Terrazzi/Poggioli</t>
        </is>
      </c>
      <c r="B20" s="9" t="n"/>
      <c r="C20" s="12" t="n">
        <v>0.333333333333333</v>
      </c>
      <c r="D20">
        <f>$B$6</f>
        <v/>
      </c>
      <c r="E20" s="11">
        <f>B20*C20*D20</f>
        <v/>
      </c>
      <c r="F20" s="22" t="n"/>
    </row>
    <row r="21">
      <c r="A21" s="4" t="inlineStr">
        <is>
          <t>GIARDINO</t>
        </is>
      </c>
      <c r="B21" s="9" t="n"/>
      <c r="C21" s="45" t="n">
        <v>0.1</v>
      </c>
      <c r="D21">
        <f>$B$6</f>
        <v/>
      </c>
      <c r="E21" s="11">
        <f>B21*C21*D21</f>
        <v/>
      </c>
    </row>
    <row r="22">
      <c r="A22" s="4" t="inlineStr">
        <is>
          <t xml:space="preserve">Posto Auto </t>
        </is>
      </c>
      <c r="B22" s="23" t="n"/>
      <c r="C22" s="15" t="n"/>
      <c r="E22" s="11" t="n"/>
    </row>
    <row r="23">
      <c r="A23" s="4" t="inlineStr">
        <is>
          <t>BOX auto</t>
        </is>
      </c>
      <c r="B23" s="16" t="inlineStr">
        <is>
          <t>A CORPO</t>
        </is>
      </c>
      <c r="C23" s="17" t="n"/>
      <c r="D23" s="22" t="n"/>
      <c r="E23" s="18" t="n"/>
      <c r="H23" s="22" t="n"/>
    </row>
    <row r="24" ht="13.8" customHeight="1" thickBot="1">
      <c r="A24" s="4" t="n"/>
      <c r="B24" s="49" t="n"/>
      <c r="C24" s="25" t="n"/>
      <c r="E24" s="18" t="n"/>
    </row>
    <row r="25" ht="13.8" customHeight="1" thickBot="1">
      <c r="A25" s="52" t="inlineStr">
        <is>
          <t>TOT MQ TIPOLOGIA</t>
        </is>
      </c>
      <c r="B25" s="51">
        <f>B10+B11+B12+B13+B14+B15</f>
        <v/>
      </c>
      <c r="C25" s="49" t="n"/>
      <c r="E25" s="18" t="n"/>
    </row>
    <row r="26" ht="13.8" customHeight="1" thickBot="1">
      <c r="C26" s="52" t="inlineStr">
        <is>
          <t>Valore a Nuovo</t>
        </is>
      </c>
      <c r="D26" s="47" t="n"/>
      <c r="E26" s="53">
        <f>E10+E11+E12+E13+E14+E15+E17+E18+E19+E20+E21+E22+E23</f>
        <v/>
      </c>
    </row>
    <row r="27" ht="13.8" customHeight="1" thickBot="1">
      <c r="C27" s="52" t="inlineStr">
        <is>
          <t>Vetustà</t>
        </is>
      </c>
      <c r="D27" s="47" t="n"/>
      <c r="E27" s="53">
        <f>E26-E30</f>
        <v/>
      </c>
    </row>
    <row r="28">
      <c r="C28" s="15" t="n"/>
      <c r="E28" s="11" t="n"/>
    </row>
    <row r="29" ht="13.8" customHeight="1" thickBot="1">
      <c r="C29" s="15" t="n"/>
      <c r="E29" s="11" t="n"/>
    </row>
    <row r="30" ht="13.8" customHeight="1" thickBot="1">
      <c r="C30" s="46" t="inlineStr">
        <is>
          <t>Valore attuale</t>
        </is>
      </c>
      <c r="D30" s="47" t="n"/>
      <c r="E30" s="54">
        <f>E26*B7</f>
        <v/>
      </c>
      <c r="F30" s="29" t="n"/>
      <c r="G30" s="22" t="n"/>
    </row>
    <row r="31" ht="13.8" customHeight="1" thickBot="1">
      <c r="C31" s="19" t="n"/>
      <c r="D31" s="19" t="n"/>
      <c r="E31" s="30" t="n"/>
      <c r="F31" s="27" t="n"/>
      <c r="G31" s="21" t="n"/>
      <c r="H31" s="22" t="n"/>
    </row>
    <row r="32" ht="13.8" customHeight="1" thickBot="1">
      <c r="B32" s="46" t="inlineStr">
        <is>
          <t>Valore commerciale</t>
        </is>
      </c>
      <c r="C32" s="47" t="n"/>
      <c r="D32" s="48" t="n"/>
      <c r="E32" s="28" t="n"/>
      <c r="F32" s="22" t="n"/>
      <c r="H32" s="22" t="n"/>
    </row>
    <row r="33">
      <c r="E33" s="21" t="n"/>
      <c r="F33" s="22" t="n"/>
    </row>
    <row r="35">
      <c r="A35" s="39" t="inlineStr">
        <is>
          <t>Principi di unicità</t>
        </is>
      </c>
      <c r="C35" s="57" t="n"/>
      <c r="D35" s="58" t="n"/>
      <c r="E35" s="24" t="n"/>
      <c r="G35" s="28" t="n"/>
    </row>
    <row r="36" ht="12.75" customHeight="1">
      <c r="C36" s="59" t="n"/>
      <c r="D36" s="60" t="n"/>
      <c r="E36" s="24" t="n"/>
    </row>
    <row r="37">
      <c r="C37" s="59" t="n"/>
      <c r="D37" s="60" t="n"/>
      <c r="E37" s="22" t="n"/>
    </row>
    <row r="38">
      <c r="C38" s="61" t="n"/>
      <c r="D38" s="56" t="n"/>
    </row>
    <row r="39">
      <c r="C39" s="20" t="n"/>
      <c r="D39" s="20" t="n"/>
    </row>
    <row r="42">
      <c r="A42" s="39" t="inlineStr">
        <is>
          <t>Criticità</t>
        </is>
      </c>
      <c r="C42" s="31" t="n"/>
      <c r="D42" s="56" t="n"/>
      <c r="E42" s="24" t="n"/>
    </row>
    <row r="43">
      <c r="C43" s="57" t="n"/>
      <c r="D43" s="58" t="n"/>
    </row>
    <row r="44">
      <c r="C44" s="59" t="n"/>
      <c r="D44" s="60" t="n"/>
    </row>
    <row r="45">
      <c r="C45" s="31" t="n"/>
      <c r="D45" s="56" t="n"/>
      <c r="E45" s="22" t="n"/>
    </row>
    <row r="46">
      <c r="C46" s="31" t="n"/>
      <c r="D46" s="56" t="n"/>
    </row>
    <row r="47">
      <c r="C47" s="4" t="n"/>
    </row>
  </sheetData>
  <mergeCells count="17">
    <mergeCell ref="C43:D43"/>
    <mergeCell ref="B3:D3"/>
    <mergeCell ref="C46:D46"/>
    <mergeCell ref="F6:H6"/>
    <mergeCell ref="C38:D38"/>
    <mergeCell ref="B4:D4"/>
    <mergeCell ref="A42:B42"/>
    <mergeCell ref="C37:D37"/>
    <mergeCell ref="C36:D36"/>
    <mergeCell ref="C45:D45"/>
    <mergeCell ref="F4:H4"/>
    <mergeCell ref="C44:D44"/>
    <mergeCell ref="C42:D42"/>
    <mergeCell ref="F3:H3"/>
    <mergeCell ref="A1:H2"/>
    <mergeCell ref="C35:D35"/>
    <mergeCell ref="A35:B35"/>
  </mergeCells>
  <pageMargins left="0.196527777777778" right="0.196527777777778" top="0.9840277777777779" bottom="0.9840277777777779" header="0.511805555555555" footer="0.511805555555555"/>
  <pageSetup orientation="portrait" paperSize="9" scale="88" firstPageNumber="0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5546875" defaultRowHeight="13.2"/>
  <sheetData/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:language xmlns:dc="http://purl.org/dc/elements/1.1/">it-IT</dc:language>
  <dcterms:created xmlns:dcterms="http://purl.org/dc/terms/" xmlns:xsi="http://www.w3.org/2001/XMLSchema-instance" xsi:type="dcterms:W3CDTF">1996-11-05T10:16:36Z</dcterms:created>
  <dcterms:modified xmlns:dcterms="http://purl.org/dc/terms/" xmlns:xsi="http://www.w3.org/2001/XMLSchema-instance" xsi:type="dcterms:W3CDTF">2026-10-02T16:53:32Z</dcterms:modified>
  <cp:lastModifiedBy>Mat G</cp:lastModifiedBy>
  <cp:revision>2</cp:revision>
  <cp:lastPrinted>2026-06-03T15:16:36Z</cp:lastPrinted>
</cp:coreProperties>
</file>

<file path=docProps/custom.xml><?xml version="1.0" encoding="utf-8"?>
<Properties xmlns="http://schemas.openxmlformats.org/officeDocument/2006/custom-properties">
  <property name="AppVersion" fmtid="{D5CDD505-2E9C-101B-9397-08002B2CF9AE}" pid="2">
    <vt:lpwstr xmlns:vt="http://schemas.openxmlformats.org/officeDocument/2006/docPropsVTypes">16.0300</vt:lpwstr>
  </property>
  <property name="DocSecurity" fmtid="{D5CDD505-2E9C-101B-9397-08002B2CF9AE}" pid="3">
    <vt:i4 xmlns:vt="http://schemas.openxmlformats.org/officeDocument/2006/docPropsVTypes">0</vt:i4>
  </property>
  <property name="HyperlinksChanged" fmtid="{D5CDD505-2E9C-101B-9397-08002B2CF9AE}" pid="4">
    <vt:bool xmlns:vt="http://schemas.openxmlformats.org/officeDocument/2006/docPropsVTypes">0</vt:bool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</Properties>
</file>